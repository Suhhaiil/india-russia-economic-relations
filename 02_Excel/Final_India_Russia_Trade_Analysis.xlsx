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b6531f2b9c611b1/Desktop/Erasmus Mundus/08 Projects/01_India_Russia_Economic_Relations/02_Excel/"/>
    </mc:Choice>
  </mc:AlternateContent>
  <xr:revisionPtr revIDLastSave="6" documentId="8_{4FDCAA09-4FE6-4743-BE7D-8CEB71E2D218}" xr6:coauthVersionLast="47" xr6:coauthVersionMax="47" xr10:uidLastSave="{E0BD7FFC-FD36-414B-A1E5-5286866C1E4D}"/>
  <bookViews>
    <workbookView xWindow="-108" yWindow="-108" windowWidth="23256" windowHeight="12456" firstSheet="1" activeTab="3" xr2:uid="{A4EE0797-3236-4242-843A-15C627F743D7}"/>
  </bookViews>
  <sheets>
    <sheet name="Index" sheetId="8" r:id="rId1"/>
    <sheet name="Raw_Data" sheetId="1" r:id="rId2"/>
    <sheet name="Clean_Data" sheetId="2" r:id="rId3"/>
    <sheet name="Calculations" sheetId="3" r:id="rId4"/>
    <sheet name="Charts" sheetId="4" r:id="rId5"/>
    <sheet name="Pivot_Table" sheetId="7" r:id="rId6"/>
    <sheet name="Data_Dictionary" sheetId="5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A11" i="8"/>
  <c r="A10" i="8"/>
  <c r="A9" i="8"/>
  <c r="A7" i="8"/>
  <c r="A8" i="8"/>
  <c r="A6" i="8"/>
  <c r="B17" i="3" l="1"/>
  <c r="B16" i="3"/>
  <c r="B15" i="3"/>
  <c r="B14" i="3"/>
  <c r="B13" i="3"/>
  <c r="B12" i="3"/>
  <c r="B11" i="3"/>
  <c r="B10" i="3"/>
  <c r="B9" i="3"/>
  <c r="B8" i="3"/>
  <c r="B7" i="3"/>
  <c r="B5" i="3" a="1"/>
  <c r="B5" i="3" s="1"/>
  <c r="B4" i="3"/>
  <c r="B3" i="3"/>
  <c r="B2" i="3"/>
  <c r="D12" i="2"/>
  <c r="E12" i="2"/>
  <c r="F12" i="2"/>
  <c r="F11" i="2"/>
  <c r="E11" i="2"/>
  <c r="D11" i="2"/>
  <c r="F10" i="2"/>
  <c r="E10" i="2"/>
  <c r="D10" i="2"/>
  <c r="G11" i="2" s="1"/>
  <c r="G9" i="2"/>
  <c r="F9" i="2"/>
  <c r="E9" i="2"/>
  <c r="D9" i="2"/>
  <c r="F8" i="2"/>
  <c r="E8" i="2"/>
  <c r="D8" i="2"/>
  <c r="G8" i="2" s="1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F2" i="2"/>
  <c r="E2" i="2"/>
  <c r="D2" i="2"/>
  <c r="G4" i="1"/>
  <c r="G5" i="1"/>
  <c r="G6" i="1"/>
  <c r="G7" i="1"/>
  <c r="G8" i="1"/>
  <c r="G9" i="1"/>
  <c r="G10" i="1"/>
  <c r="G11" i="1"/>
  <c r="G12" i="1"/>
  <c r="G3" i="1"/>
  <c r="F3" i="1"/>
  <c r="F4" i="1"/>
  <c r="F5" i="1"/>
  <c r="F6" i="1"/>
  <c r="F7" i="1"/>
  <c r="F8" i="1"/>
  <c r="F9" i="1"/>
  <c r="F10" i="1"/>
  <c r="F11" i="1"/>
  <c r="F12" i="1"/>
  <c r="F2" i="1"/>
  <c r="E2" i="1"/>
  <c r="E3" i="1"/>
  <c r="E4" i="1"/>
  <c r="E5" i="1"/>
  <c r="E6" i="1"/>
  <c r="E7" i="1"/>
  <c r="E8" i="1"/>
  <c r="E9" i="1"/>
  <c r="E10" i="1"/>
  <c r="E11" i="1"/>
  <c r="E12" i="1"/>
  <c r="D4" i="1"/>
  <c r="D5" i="1"/>
  <c r="D6" i="1"/>
  <c r="D7" i="1"/>
  <c r="D8" i="1"/>
  <c r="D9" i="1"/>
  <c r="D10" i="1"/>
  <c r="D11" i="1"/>
  <c r="D12" i="1"/>
  <c r="D3" i="1"/>
  <c r="D2" i="1"/>
  <c r="G10" i="2" l="1"/>
  <c r="G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<sst xmlns="http://schemas.openxmlformats.org/spreadsheetml/2006/main" count="197" uniqueCount="89">
  <si>
    <t>Financial_Year</t>
  </si>
  <si>
    <t>Exports_USD_m</t>
  </si>
  <si>
    <t>2018-19</t>
  </si>
  <si>
    <t>2017-18</t>
  </si>
  <si>
    <t>2019-20</t>
  </si>
  <si>
    <t>2020-21</t>
  </si>
  <si>
    <t>2021-22</t>
  </si>
  <si>
    <t>2022-23</t>
  </si>
  <si>
    <t>2023-24</t>
  </si>
  <si>
    <t>2024-25</t>
  </si>
  <si>
    <t>2014-15</t>
  </si>
  <si>
    <t>2015-16</t>
  </si>
  <si>
    <t>2016-17</t>
  </si>
  <si>
    <t>Imports_USD_m</t>
  </si>
  <si>
    <t>Total_Trade_USD_m</t>
  </si>
  <si>
    <t>Trade_Balance_USD_m</t>
  </si>
  <si>
    <t>Import_Share_%</t>
  </si>
  <si>
    <t>YoY_Trade_Growth_%</t>
  </si>
  <si>
    <t>Column_Name</t>
  </si>
  <si>
    <t>Definition</t>
  </si>
  <si>
    <t>Unit</t>
  </si>
  <si>
    <t>Source</t>
  </si>
  <si>
    <t>Indian financial year covering April to March</t>
  </si>
  <si>
    <t>FY</t>
  </si>
  <si>
    <t>Government of India – Department of Commerce</t>
  </si>
  <si>
    <t>Value of goods exported from India to Russia during the financial year</t>
  </si>
  <si>
    <t>US$ million</t>
  </si>
  <si>
    <t>Value of goods imported by India from Russia during the financial year</t>
  </si>
  <si>
    <t>Sum of exports and imports between India and Russia during the financial year</t>
  </si>
  <si>
    <t>Calculated from Exports_USD_m + Imports_USD_m</t>
  </si>
  <si>
    <t>Difference between exports and imports</t>
  </si>
  <si>
    <t>Calculated from Exports_USD_m - Imports_USD_m</t>
  </si>
  <si>
    <t>Percentage of total bilateral trade accounted for by imports from Russia</t>
  </si>
  <si>
    <t>%</t>
  </si>
  <si>
    <t>Calculated from Imports_USD_m / Total_Trade_USD_m * 100</t>
  </si>
  <si>
    <t>Percentage change in total trade compared with the previous financial year</t>
  </si>
  <si>
    <t>Calculated from (Current Year Total Trade - Previous Year Total Trade) / Previous Year Total Trade * 100</t>
  </si>
  <si>
    <t>Metric</t>
  </si>
  <si>
    <t>Value</t>
  </si>
  <si>
    <t>Interpretation</t>
  </si>
  <si>
    <t>Average Annual Total Trade</t>
  </si>
  <si>
    <t>Highest Annual Total Trade</t>
  </si>
  <si>
    <t>Lowest Annual Total Trade</t>
  </si>
  <si>
    <t>Overall Trade Growth</t>
  </si>
  <si>
    <t>Highest Export Year</t>
  </si>
  <si>
    <t>Highest Import Year</t>
  </si>
  <si>
    <t>Largest Trade Deficit Year</t>
  </si>
  <si>
    <t>Largest YoY Trade Growth</t>
  </si>
  <si>
    <t>Largest YoY Trade Decline</t>
  </si>
  <si>
    <t>Average Import Share</t>
  </si>
  <si>
    <t>Pre-2022 Average Total Trade</t>
  </si>
  <si>
    <t>Post-2022 Average Total Trade</t>
  </si>
  <si>
    <t>Highest Import Share Year</t>
  </si>
  <si>
    <t>Lowest Import Share Year</t>
  </si>
  <si>
    <t>Highest Total Trade Year</t>
  </si>
  <si>
    <t>Lowest Total Trade Year</t>
  </si>
  <si>
    <t>Row Labels</t>
  </si>
  <si>
    <t>Grand Total</t>
  </si>
  <si>
    <t>Exports (US$ million)</t>
  </si>
  <si>
    <t>Imports (US$ million)</t>
  </si>
  <si>
    <t>Total Trade (US$ million)</t>
  </si>
  <si>
    <t>Trade Balance (US$ million)</t>
  </si>
  <si>
    <t>India–Russia Economic &amp; Energy Relations</t>
  </si>
  <si>
    <t>Data-Driven Analysis, 2014–2025</t>
  </si>
  <si>
    <t>Workbook Navigation</t>
  </si>
  <si>
    <t>Section</t>
  </si>
  <si>
    <t>Description</t>
  </si>
  <si>
    <t>Original trade data and calculated fields</t>
  </si>
  <si>
    <t>Cleaned and structured analytical dataset</t>
  </si>
  <si>
    <t>Key statistical indicators and findings</t>
  </si>
  <si>
    <t>Dynamic trade summary by financial year</t>
  </si>
  <si>
    <t>Visual analysis of trade trends</t>
  </si>
  <si>
    <t>Definitions, units, and sources</t>
  </si>
  <si>
    <t>Average annual bilateral trade over 2014–15 to 2024–25.</t>
  </si>
  <si>
    <t>Highest annual bilateral trade recorded in the dataset.</t>
  </si>
  <si>
    <t>Lowest annual bilateral trade recorded in the dataset.</t>
  </si>
  <si>
    <t>Total bilateral trade increased substantially between 2014–15 and 2024–25.</t>
  </si>
  <si>
    <t>2024–25 recorded the highest import value in the dataset.</t>
  </si>
  <si>
    <t>2024–25 recorded the largest trade deficit.</t>
  </si>
  <si>
    <t>2022–23 recorded the strongest year-on-year trade growth.</t>
  </si>
  <si>
    <t>2018–19 recorded the largest year-on-year decline in trade.</t>
  </si>
  <si>
    <t>Imports accounted for an average of 77.60% of bilateral trade.</t>
  </si>
  <si>
    <t>Average annual trade before 2022–23 was substantially lower.</t>
  </si>
  <si>
    <t>Average annual trade from 2022–23 onward was substantially higher.</t>
  </si>
  <si>
    <t>2022–23 recorded the highest import share of total trade.</t>
  </si>
  <si>
    <t>2014–15 recorded the lowest import share of total trade.</t>
  </si>
  <si>
    <t>2023–24 recorded the highest total bilateral trade.</t>
  </si>
  <si>
    <t>2015–16 recorded the lowest total bilateral trade.</t>
  </si>
  <si>
    <t>2023–24 recorded the highest export value in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</si>
</sst>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&quot;%&quot;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165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2" formatCode="0.00"/>
    </dxf>
    <dxf>
      <numFmt numFmtId="2" formatCode="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India–Russia Total Trade Trend (2014–2025)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Total_Trade_USD_m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Charts!$A$2:$A$12</c:f>
              <c:strCache>
                <c:ptCount val="11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  <c:pt idx="10">
                  <c:v>2024-25</c:v>
                </c:pt>
              </c:strCache>
            </c:strRef>
          </c:cat>
          <c:val>
            <c:numRef>
              <c:f>Charts!$B$2:$B$12</c:f>
              <c:numCache>
                <c:formatCode>General</c:formatCode>
                <c:ptCount val="11"/>
                <c:pt idx="0">
                  <c:v>6346.23</c:v>
                </c:pt>
                <c:pt idx="1">
                  <c:v>6172.79</c:v>
                </c:pt>
                <c:pt idx="2" formatCode="#,##0.00">
                  <c:v>7489.36</c:v>
                </c:pt>
                <c:pt idx="3">
                  <c:v>10686.85</c:v>
                </c:pt>
                <c:pt idx="4">
                  <c:v>8229.91</c:v>
                </c:pt>
                <c:pt idx="5">
                  <c:v>10110.68</c:v>
                </c:pt>
                <c:pt idx="6">
                  <c:v>8141.27</c:v>
                </c:pt>
                <c:pt idx="7" formatCode="#,##0.00">
                  <c:v>13124.67</c:v>
                </c:pt>
                <c:pt idx="8" formatCode="#,##0.00">
                  <c:v>49359.66</c:v>
                </c:pt>
                <c:pt idx="9" formatCode="#,##0.00">
                  <c:v>69681.78</c:v>
                </c:pt>
                <c:pt idx="10" formatCode="#,##0.00">
                  <c:v>68692.740000000005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6-42A1-BE60-635CF465D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973231"/>
        <c:axId val="1318999823"/>
      </c:lineChart>
      <c:catAx>
        <c:axId val="153797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999823"/>
        <c:crosses val="autoZero"/>
        <c:auto val="1"/>
        <c:lblAlgn val="ctr"/>
        <c:lblOffset val="100"/>
        <c:noMultiLvlLbl val="0"/>
      </c:catAx>
      <c:valAx>
        <c:axId val="13189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India–Russia Exports vs Imports (2014–2025)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Charts!$E$1</c:f>
              <c:strCache>
                <c:ptCount val="1"/>
                <c:pt idx="0">
                  <c:v>Exports_USD_m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Charts!$D$2:$D$12</c:f>
              <c:strCache>
                <c:ptCount val="11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  <c:pt idx="10">
                  <c:v>2024-25</c:v>
                </c:pt>
              </c:strCache>
            </c:strRef>
          </c:cat>
          <c:val>
            <c:numRef>
              <c:f>Charts!$E$2:$E$12</c:f>
              <c:numCache>
                <c:formatCode>General</c:formatCode>
                <c:ptCount val="11"/>
                <c:pt idx="0">
                  <c:v>2097.0100000000002</c:v>
                </c:pt>
                <c:pt idx="1">
                  <c:v>1587.81</c:v>
                </c:pt>
                <c:pt idx="2" formatCode="#,##0.00">
                  <c:v>1937.06</c:v>
                </c:pt>
                <c:pt idx="3">
                  <c:v>2113.39</c:v>
                </c:pt>
                <c:pt idx="4">
                  <c:v>2389.4699999999998</c:v>
                </c:pt>
                <c:pt idx="5">
                  <c:v>3017.67</c:v>
                </c:pt>
                <c:pt idx="6">
                  <c:v>2655.52</c:v>
                </c:pt>
                <c:pt idx="7" formatCode="#,##0.00">
                  <c:v>3254.68</c:v>
                </c:pt>
                <c:pt idx="8" formatCode="#,##0.00">
                  <c:v>3146.95</c:v>
                </c:pt>
                <c:pt idx="9" formatCode="#,##0.00">
                  <c:v>8522.61</c:v>
                </c:pt>
                <c:pt idx="10" formatCode="#,##0.00">
                  <c:v>4881.3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E-4358-81D1-26AA52BD4091}"/>
            </c:ext>
          </c:extLst>
        </c:ser>
        <c:ser>
          <c:idx val="1"/>
          <c:order val="1"/>
          <c:tx>
            <c:strRef>
              <c:f>Charts!$F$1</c:f>
              <c:strCache>
                <c:ptCount val="1"/>
                <c:pt idx="0">
                  <c:v>Imports_USD_m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Charts!$D$2:$D$12</c:f>
              <c:strCache>
                <c:ptCount val="11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  <c:pt idx="10">
                  <c:v>2024-25</c:v>
                </c:pt>
              </c:strCache>
            </c:strRef>
          </c:cat>
          <c:val>
            <c:numRef>
              <c:f>Charts!$F$2:$F$12</c:f>
              <c:numCache>
                <c:formatCode>General</c:formatCode>
                <c:ptCount val="11"/>
                <c:pt idx="0">
                  <c:v>4249.22</c:v>
                </c:pt>
                <c:pt idx="1">
                  <c:v>4584.9799999999996</c:v>
                </c:pt>
                <c:pt idx="2">
                  <c:v>5552.3</c:v>
                </c:pt>
                <c:pt idx="3">
                  <c:v>8573.4599999999991</c:v>
                </c:pt>
                <c:pt idx="4">
                  <c:v>5840.44</c:v>
                </c:pt>
                <c:pt idx="5">
                  <c:v>7093.01</c:v>
                </c:pt>
                <c:pt idx="6">
                  <c:v>5485.75</c:v>
                </c:pt>
                <c:pt idx="7">
                  <c:v>9869.99</c:v>
                </c:pt>
                <c:pt idx="8">
                  <c:v>46212.71</c:v>
                </c:pt>
                <c:pt idx="9">
                  <c:v>61159.17</c:v>
                </c:pt>
                <c:pt idx="10">
                  <c:v>63811.44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AE-4358-81D1-26AA52BD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8352447"/>
        <c:axId val="1465304623"/>
      </c:barChart>
      <c:catAx>
        <c:axId val="183835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04623"/>
        <c:crosses val="autoZero"/>
        <c:auto val="1"/>
        <c:lblAlgn val="ctr"/>
        <c:lblOffset val="100"/>
        <c:noMultiLvlLbl val="0"/>
      </c:catAx>
      <c:valAx>
        <c:axId val="14653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35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India–Russia Trade Balance (2014–2025)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Trade_Balance_USD_m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Charts!$H$2:$H$12</c:f>
              <c:strCache>
                <c:ptCount val="11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  <c:pt idx="10">
                  <c:v>2024-25</c:v>
                </c:pt>
              </c:strCache>
            </c:strRef>
          </c:cat>
          <c:val>
            <c:numRef>
              <c:f>Charts!$I$2:$I$12</c:f>
              <c:numCache>
                <c:formatCode>General</c:formatCode>
                <c:ptCount val="11"/>
                <c:pt idx="0">
                  <c:v>-2152.21</c:v>
                </c:pt>
                <c:pt idx="1">
                  <c:v>-2997.17</c:v>
                </c:pt>
                <c:pt idx="2">
                  <c:v>-3615.24</c:v>
                </c:pt>
                <c:pt idx="3">
                  <c:v>-6460.07</c:v>
                </c:pt>
                <c:pt idx="4">
                  <c:v>-3450.97</c:v>
                </c:pt>
                <c:pt idx="5">
                  <c:v>-4075.34</c:v>
                </c:pt>
                <c:pt idx="6">
                  <c:v>-2830.23</c:v>
                </c:pt>
                <c:pt idx="7">
                  <c:v>-6615.31</c:v>
                </c:pt>
                <c:pt idx="8">
                  <c:v>-43065.760000000002</c:v>
                </c:pt>
                <c:pt idx="9">
                  <c:v>-52636.56</c:v>
                </c:pt>
                <c:pt idx="10">
                  <c:v>-58930.14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3-4363-9D17-5658BEB4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2021039"/>
        <c:axId val="1465366063"/>
      </c:barChart>
      <c:catAx>
        <c:axId val="151202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66063"/>
        <c:crosses val="autoZero"/>
        <c:auto val="1"/>
        <c:lblAlgn val="ctr"/>
        <c:lblOffset val="100"/>
        <c:noMultiLvlLbl val="0"/>
      </c:catAx>
      <c:valAx>
        <c:axId val="146536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2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India–Russia YoY Trade Growth (2015–2025)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Charts!$K$3:$K$12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Charts!$L$3:$L$12</c:f>
              <c:numCache>
                <c:formatCode>General</c:formatCode>
                <c:ptCount val="10"/>
                <c:pt idx="0">
                  <c:v>-2.73</c:v>
                </c:pt>
                <c:pt idx="1">
                  <c:v>21.33</c:v>
                </c:pt>
                <c:pt idx="2">
                  <c:v>42.69</c:v>
                </c:pt>
                <c:pt idx="3">
                  <c:v>-22.99</c:v>
                </c:pt>
                <c:pt idx="4">
                  <c:v>22.85</c:v>
                </c:pt>
                <c:pt idx="5">
                  <c:v>-19.48</c:v>
                </c:pt>
                <c:pt idx="6">
                  <c:v>61.2</c:v>
                </c:pt>
                <c:pt idx="7">
                  <c:v>276.08</c:v>
                </c:pt>
                <c:pt idx="8">
                  <c:v>41.1</c:v>
                </c:pt>
                <c:pt idx="9">
                  <c:v>-1.42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D-49A7-9042-251D505D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8304191"/>
        <c:axId val="1465287343"/>
      </c:barChart>
      <c:catAx>
        <c:axId val="18383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87343"/>
        <c:crosses val="autoZero"/>
        <c:auto val="1"/>
        <c:lblAlgn val="ctr"/>
        <c:lblOffset val="100"/>
        <c:noMultiLvlLbl val="0"/>
      </c:catAx>
      <c:valAx>
        <c:axId val="14652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30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India–Russia Import Share (2014–2025)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Charts!$O$1</c:f>
              <c:strCache>
                <c:ptCount val="1"/>
                <c:pt idx="0">
                  <c:v>Import_Share_%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Charts!$N$2:$N$12</c:f>
              <c:strCache>
                <c:ptCount val="11"/>
                <c:pt idx="0">
                  <c:v>2014-15</c:v>
                </c:pt>
                <c:pt idx="1">
                  <c:v>2015-16</c:v>
                </c:pt>
                <c:pt idx="2">
                  <c:v>2016-17</c:v>
                </c:pt>
                <c:pt idx="3">
                  <c:v>2017-18</c:v>
                </c:pt>
                <c:pt idx="4">
                  <c:v>2018-19</c:v>
                </c:pt>
                <c:pt idx="5">
                  <c:v>2019-20</c:v>
                </c:pt>
                <c:pt idx="6">
                  <c:v>2020-21</c:v>
                </c:pt>
                <c:pt idx="7">
                  <c:v>2021-22</c:v>
                </c:pt>
                <c:pt idx="8">
                  <c:v>2022-23</c:v>
                </c:pt>
                <c:pt idx="9">
                  <c:v>2023-24</c:v>
                </c:pt>
                <c:pt idx="10">
                  <c:v>2024-25</c:v>
                </c:pt>
              </c:strCache>
            </c:strRef>
          </c:cat>
          <c:val>
            <c:numRef>
              <c:f>Charts!$O$2:$O$12</c:f>
              <c:numCache>
                <c:formatCode>0.00</c:formatCode>
                <c:ptCount val="11"/>
                <c:pt idx="0">
                  <c:v>66.959999999999994</c:v>
                </c:pt>
                <c:pt idx="1">
                  <c:v>74.28</c:v>
                </c:pt>
                <c:pt idx="2">
                  <c:v>74.14</c:v>
                </c:pt>
                <c:pt idx="3">
                  <c:v>80.22</c:v>
                </c:pt>
                <c:pt idx="4">
                  <c:v>70.97</c:v>
                </c:pt>
                <c:pt idx="5">
                  <c:v>70.150000000000006</c:v>
                </c:pt>
                <c:pt idx="6">
                  <c:v>67.38</c:v>
                </c:pt>
                <c:pt idx="7">
                  <c:v>75.2</c:v>
                </c:pt>
                <c:pt idx="8">
                  <c:v>93.62</c:v>
                </c:pt>
                <c:pt idx="9">
                  <c:v>87.77</c:v>
                </c:pt>
                <c:pt idx="10">
                  <c:v>92.89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A-496C-84BF-C6941A916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840959"/>
        <c:axId val="1465410223"/>
      </c:lineChart>
      <c:catAx>
        <c:axId val="165184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410223"/>
        <c:crosses val="autoZero"/>
        <c:auto val="1"/>
        <c:lblAlgn val="ctr"/>
        <c:lblOffset val="100"/>
        <c:noMultiLvlLbl val="0"/>
      </c:catAx>
      <c:valAx>
        <c:axId val="146541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4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13</xdr:row>
      <xdr:rowOff>167639</xdr:rowOff>
    </xdr:from>
    <xdr:to>
      <xdr:col>7</xdr:col>
      <xdr:colOff>751115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7E782-5526-D3F7-C74B-07C11580E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783771</xdr:colOff>
      <xdr:row>13</xdr:row>
      <xdr:rowOff>173627</xdr:rowOff>
    </xdr:from>
    <xdr:to>
      <xdr:col>15</xdr:col>
      <xdr:colOff>141515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8C027F-B444-06F3-B3DA-435CF4DB9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57151</xdr:rowOff>
    </xdr:from>
    <xdr:to>
      <xdr:col>7</xdr:col>
      <xdr:colOff>783771</xdr:colOff>
      <xdr:row>50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79F976-E3D5-674B-45FC-AFBB84A20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844730</xdr:colOff>
      <xdr:row>32</xdr:row>
      <xdr:rowOff>51163</xdr:rowOff>
    </xdr:from>
    <xdr:to>
      <xdr:col>15</xdr:col>
      <xdr:colOff>179614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1A480B-4EB5-CB9D-E19C-02AA02F73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22859</xdr:colOff>
      <xdr:row>50</xdr:row>
      <xdr:rowOff>78377</xdr:rowOff>
    </xdr:from>
    <xdr:to>
      <xdr:col>15</xdr:col>
      <xdr:colOff>163286</xdr:colOff>
      <xdr:row>65</xdr:row>
      <xdr:rowOff>78376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AC0FB8-F921-545B-8C24-A41FFE90E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il Alam" refreshedDate="46299.655351967594" createdVersion="8" refreshedVersion="8" minRefreshableVersion="3" recordCount="11" xr:uid="{E1E0F6F2-F611-44F1-8BA0-C295B8EDEA31}">
  <cacheSource type="worksheet">
    <worksheetSource name="IndiaRussiaTrade"/>
  </cacheSource>
  <cacheFields count="7">
    <cacheField name="Financial_Year" numFmtId="0">
      <sharedItems count="11">
        <s v="2014-15"/>
        <s v="2015-16"/>
        <s v="2016-17"/>
        <s v="2017-18"/>
        <s v="2018-19"/>
        <s v="2019-20"/>
        <s v="2020-21"/>
        <s v="2021-22"/>
        <s v="2022-23"/>
        <s v="2023-24"/>
        <s v="2024-25"/>
      </sharedItems>
    </cacheField>
    <cacheField name="Exports_USD_m" numFmtId="0">
      <sharedItems containsSemiMixedTypes="0" containsString="0" containsNumber="1" minValue="1587.81" maxValue="8522.61"/>
    </cacheField>
    <cacheField name="Imports_USD_m" numFmtId="0">
      <sharedItems containsSemiMixedTypes="0" containsString="0" containsNumber="1" minValue="4249.22" maxValue="63811.44"/>
    </cacheField>
    <cacheField name="Total_Trade_USD_m" numFmtId="0">
      <sharedItems containsSemiMixedTypes="0" containsString="0" containsNumber="1" minValue="6172.7899999999991" maxValue="69681.78"/>
    </cacheField>
    <cacheField name="Trade_Balance=_USD_m" numFmtId="0">
      <sharedItems containsSemiMixedTypes="0" containsString="0" containsNumber="1" minValue="-58930.14" maxValue="-2152.21"/>
    </cacheField>
    <cacheField name="Import_Share_%" numFmtId="2">
      <sharedItems containsSemiMixedTypes="0" containsString="0" containsNumber="1" minValue="66.95660258137508" maxValue="93.624449601152037"/>
    </cacheField>
    <cacheField name="YoY_Trade_Growth_%" numFmtId="0">
      <sharedItems containsString="0" containsBlank="1" containsNumber="1" minValue="-22.990310521809505" maxValue="276.08305580254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2097.0100000000002"/>
    <n v="4249.22"/>
    <n v="6346.2300000000005"/>
    <n v="-2152.21"/>
    <n v="66.95660258137508"/>
    <m/>
  </r>
  <r>
    <x v="1"/>
    <n v="1587.81"/>
    <n v="4584.9799999999996"/>
    <n v="6172.7899999999991"/>
    <n v="-2997.1699999999996"/>
    <n v="74.277271703719066"/>
    <n v="-2.7329611438602353"/>
  </r>
  <r>
    <x v="2"/>
    <n v="1937.06"/>
    <n v="5552.3"/>
    <n v="7489.3600000000006"/>
    <n v="-3615.2400000000002"/>
    <n v="74.135840712691063"/>
    <n v="21.328605055412574"/>
  </r>
  <r>
    <x v="3"/>
    <n v="2113.39"/>
    <n v="8573.4599999999991"/>
    <n v="10686.849999999999"/>
    <n v="-6460.07"/>
    <n v="80.224387915990221"/>
    <n v="42.693768225856381"/>
  </r>
  <r>
    <x v="4"/>
    <n v="2389.4699999999998"/>
    <n v="5840.44"/>
    <n v="8229.91"/>
    <n v="-3450.97"/>
    <n v="70.966025144867928"/>
    <n v="-22.990310521809505"/>
  </r>
  <r>
    <x v="5"/>
    <n v="3017.67"/>
    <n v="7093.01"/>
    <n v="10110.68"/>
    <n v="-4075.34"/>
    <n v="70.153639517816799"/>
    <n v="22.852862303475984"/>
  </r>
  <r>
    <x v="6"/>
    <n v="2655.52"/>
    <n v="5485.75"/>
    <n v="8141.27"/>
    <n v="-2830.23"/>
    <n v="67.381993227100921"/>
    <n v="-19.478511831053893"/>
  </r>
  <r>
    <x v="7"/>
    <n v="3254.68"/>
    <n v="9869.99"/>
    <n v="13124.67"/>
    <n v="-6615.3099999999995"/>
    <n v="75.201814598005129"/>
    <n v="61.2115800114724"/>
  </r>
  <r>
    <x v="8"/>
    <n v="3146.95"/>
    <n v="46212.71"/>
    <n v="49359.659999999996"/>
    <n v="-43065.760000000002"/>
    <n v="93.624449601152037"/>
    <n v="276.08305580254586"/>
  </r>
  <r>
    <x v="9"/>
    <n v="8522.61"/>
    <n v="61159.17"/>
    <n v="69681.78"/>
    <n v="-52636.56"/>
    <n v="87.769241830504328"/>
    <n v="41.171515362950238"/>
  </r>
  <r>
    <x v="10"/>
    <n v="4881.3"/>
    <n v="63811.44"/>
    <n v="68692.740000000005"/>
    <n v="-58930.14"/>
    <n v="92.89400888652861"/>
    <n v="-1.41936672685455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E0CDF-5B84-4D56-9813-2ABB4276752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13" firstHeaderRow="0" firstDataRow="1" firstDataCol="1"/>
  <pivotFields count="7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numFmtId="2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Exports (US$ million)" fld="1" baseField="0" baseItem="0" numFmtId="4"/>
    <dataField name="Imports (US$ million)" fld="2" baseField="0" baseItem="0" numFmtId="4"/>
    <dataField name="Total Trade (US$ million)" fld="3" baseField="0" baseItem="0" numFmtId="4"/>
    <dataField name="Trade Balance (US$ million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1CC87-D10A-48C8-9801-198E52546C40}" name="IndiaRussiaTrade" displayName="IndiaRussiaTrade" ref="A1:G12" totalsRowShown="0">
  <autoFilter ref="A1:G12" xr:uid="{F9D1CC87-D10A-48C8-9801-198E52546C40}"/>
  <tableColumns count="7">
    <tableColumn id="1" xr3:uid="{83CFC769-7549-4E3F-BFED-E6DD78459E10}" name="Financial_Year"/>
    <tableColumn id="2" xr3:uid="{F90B9A58-4319-418C-81BB-39F33F86E347}" name="Exports_USD_m" dataDxfId="18"/>
    <tableColumn id="3" xr3:uid="{4B8C8AFC-31DE-40D0-81BD-17910C2F6685}" name="Imports_USD_m"/>
    <tableColumn id="4" xr3:uid="{17CB4F7A-E311-44C3-9EFC-C45A1FA636ED}" name="Total_Trade_USD_m">
      <calculatedColumnFormula>B2+C2</calculatedColumnFormula>
    </tableColumn>
    <tableColumn id="5" xr3:uid="{755EA4A4-5605-4081-BFB2-0C1BEF9DF481}" name="Trade_Balance_USD_m">
      <calculatedColumnFormula>B2-C2</calculatedColumnFormula>
    </tableColumn>
    <tableColumn id="6" xr3:uid="{44459B33-8FCC-4B67-8EE4-6BADD880416E}" name="Import_Share_%" dataDxfId="17">
      <calculatedColumnFormula>C2/D2*100</calculatedColumnFormula>
    </tableColumn>
    <tableColumn id="7" xr3:uid="{9FC6703D-A909-48F0-8778-FFC0A0E18230}" name="YoY_Trade_Growth_%" dataDxfId="16">
      <calculatedColumnFormula>(D2-D1)/D1*100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5A7F3D-F4FB-4255-9C58-AD63E2E063A7}" name="Table1" displayName="Table1" ref="A1:B12" totalsRowShown="0" headerRowBorderDxfId="15" tableBorderDxfId="14">
  <autoFilter ref="A1:B12" xr:uid="{AB5A7F3D-F4FB-4255-9C58-AD63E2E063A7}"/>
  <tableColumns count="2">
    <tableColumn id="1" xr3:uid="{3DDDAE13-D93A-4E90-8D3A-18F8BFC5492B}" name="Financial_Year" dataDxfId="13"/>
    <tableColumn id="2" xr3:uid="{81095E8C-5E2B-48DB-BE33-1A7B58AB54D6}" name="Total_Trade_USD_m" dataDxfId="1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BB3F76-DC35-407C-AB3A-FB809826FD61}" name="Table2" displayName="Table2" ref="D1:F12" totalsRowShown="0" tableBorderDxfId="11">
  <autoFilter ref="D1:F12" xr:uid="{96BB3F76-DC35-407C-AB3A-FB809826FD61}"/>
  <tableColumns count="3">
    <tableColumn id="1" xr3:uid="{ECB39E6E-B0B0-4E05-A6A0-0EDB4D0073DB}" name="Financial_Year" dataDxfId="10"/>
    <tableColumn id="2" xr3:uid="{1C70D739-6D89-4EFE-9BC4-AAE6A63FA0DE}" name="Exports_USD_m" dataDxfId="9"/>
    <tableColumn id="3" xr3:uid="{852A2D82-17C4-41B2-BA58-52EC14CC9E7B}" name="Imports_USD_m" dataDxfId="8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7AE296-B403-4CDD-8CAE-8F39F63FFC28}" name="Table3" displayName="Table3" ref="H1:I12" totalsRowShown="0">
  <autoFilter ref="H1:I12" xr:uid="{927AE296-B403-4CDD-8CAE-8F39F63FFC28}"/>
  <tableColumns count="2">
    <tableColumn id="1" xr3:uid="{F36B8514-EDC6-4B6E-9B98-22A30E0D6220}" name="Financial_Year" dataDxfId="7"/>
    <tableColumn id="2" xr3:uid="{32C2C724-9058-45FB-AD38-03F8F507F253}" name="Trade_Balance_USD_m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3A6029-6BB7-4705-A537-4C12F541F071}" name="Table4" displayName="Table4" ref="K1:L12" totalsRowShown="0">
  <autoFilter ref="K1:L12" xr:uid="{EF3A6029-6BB7-4705-A537-4C12F541F071}"/>
  <tableColumns count="2">
    <tableColumn id="1" xr3:uid="{E9124247-4BF8-49A9-9E75-C163AC7EB0E8}" name="Financial_Year" dataDxfId="6"/>
    <tableColumn id="2" xr3:uid="{101D6A4D-20F0-4CD0-8B35-1E8E1264F11E}" name="YoY_Trade_Growth_%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0225CC-4391-4687-BD99-93A629F3EE70}" name="Table5" displayName="Table5" ref="N1:O12" totalsRowShown="0">
  <autoFilter ref="N1:O12" xr:uid="{0B0225CC-4391-4687-BD99-93A629F3EE70}"/>
  <tableColumns count="2">
    <tableColumn id="1" xr3:uid="{45509A3A-71F6-4DBE-8463-D779DB517DF4}" name="Financial_Year" dataDxfId="5"/>
    <tableColumn id="2" xr3:uid="{693BD303-FD19-45D3-86F9-FFBC10961DEE}" name="Import_Share_%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2AA3-2D48-49BE-9ECF-7162AA17BE0F}">
  <dimension ref="A1:B11"/>
  <sheetViews>
    <sheetView workbookViewId="0">
      <selection activeCell="A4" sqref="A4"/>
    </sheetView>
  </sheetViews>
  <sheetFormatPr defaultRowHeight="14.4"/>
  <cols>
    <col min="1" max="1" width="45.109375" bestFit="1" customWidth="1"/>
    <col min="2" max="2" width="34.6640625" bestFit="1" customWidth="1"/>
  </cols>
  <sheetData>
    <row r="1" spans="1:2" ht="18">
      <c r="A1" s="7" t="s">
        <v>62</v>
      </c>
    </row>
    <row r="2" spans="1:2" ht="18">
      <c r="A2" s="7" t="s">
        <v>63</v>
      </c>
    </row>
    <row r="4" spans="1:2" ht="15.6">
      <c r="A4" s="8" t="s">
        <v>64</v>
      </c>
      <c r="B4" s="8"/>
    </row>
    <row r="5" spans="1:2" ht="15.6">
      <c r="A5" s="8" t="s">
        <v>65</v>
      </c>
      <c r="B5" s="8" t="s">
        <v>66</v>
      </c>
    </row>
    <row r="6" spans="1:2">
      <c r="A6" t="str">
        <f>HYPERLINK("#'Raw_Data'!A1","Raw Data")</f>
        <v>Raw Data</v>
      </c>
      <c r="B6" t="s">
        <v>67</v>
      </c>
    </row>
    <row r="7" spans="1:2">
      <c r="A7" s="6" t="str">
        <f>HYPERLINK("#'Clean_Data'!A1","Clean Data")</f>
        <v>Clean Data</v>
      </c>
      <c r="B7" t="s">
        <v>68</v>
      </c>
    </row>
    <row r="8" spans="1:2">
      <c r="A8" s="6" t="str">
        <f>HYPERLINK("#'Calculations'!A1","Calculations")</f>
        <v>Calculations</v>
      </c>
      <c r="B8" t="s">
        <v>69</v>
      </c>
    </row>
    <row r="9" spans="1:2">
      <c r="A9" s="6" t="str">
        <f>HYPERLINK("#'Pivot_TABLE'!A1","Pivot Table")</f>
        <v>Pivot Table</v>
      </c>
      <c r="B9" t="s">
        <v>70</v>
      </c>
    </row>
    <row r="10" spans="1:2">
      <c r="A10" s="6" t="str">
        <f>HYPERLINK("#'Charts'!A1","Charts")</f>
        <v>Charts</v>
      </c>
      <c r="B10" t="s">
        <v>71</v>
      </c>
    </row>
    <row r="11" spans="1:2">
      <c r="A11" s="6" t="str">
        <f>HYPERLINK("#'Data_Dictionary'!A1","Data Dictionary")</f>
        <v>Data Dictionary</v>
      </c>
      <c r="B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9F80-FEDA-451D-87A2-6D63A3C6A56F}">
  <dimension ref="A1:G12"/>
  <sheetViews>
    <sheetView zoomScale="55" zoomScaleNormal="55" workbookViewId="0">
      <selection activeCell="D2" sqref="D2"/>
    </sheetView>
  </sheetViews>
  <sheetFormatPr defaultRowHeight="14.4"/>
  <cols>
    <col min="1" max="1" width="12.77734375" bestFit="1" customWidth="1"/>
    <col min="2" max="2" width="13.5546875" bestFit="1" customWidth="1"/>
    <col min="3" max="3" width="13.77734375" bestFit="1" customWidth="1"/>
    <col min="4" max="4" width="16.88671875" bestFit="1" customWidth="1"/>
    <col min="5" max="5" width="19.6640625" bestFit="1" customWidth="1"/>
    <col min="6" max="6" width="14.109375" bestFit="1" customWidth="1"/>
    <col min="7" max="7" width="18.5546875" bestFit="1" customWidth="1"/>
  </cols>
  <sheetData>
    <row r="1" spans="1:7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 t="s">
        <v>10</v>
      </c>
      <c r="B2">
        <v>2097.0100000000002</v>
      </c>
      <c r="C2">
        <v>4249.22</v>
      </c>
      <c r="D2">
        <f>B2+C2</f>
        <v>6346.2300000000005</v>
      </c>
      <c r="E2">
        <f>B2-C2</f>
        <v>-2152.21</v>
      </c>
      <c r="F2" s="2">
        <f>C2/D2*100</f>
        <v>66.95660258137508</v>
      </c>
    </row>
    <row r="3" spans="1:7">
      <c r="A3" t="s">
        <v>11</v>
      </c>
      <c r="B3">
        <v>1587.81</v>
      </c>
      <c r="C3">
        <v>4584.9799999999996</v>
      </c>
      <c r="D3">
        <f>B3+C3</f>
        <v>6172.7899999999991</v>
      </c>
      <c r="E3">
        <f t="shared" ref="E3:E12" si="0">B3-C3</f>
        <v>-2997.1699999999996</v>
      </c>
      <c r="F3" s="2">
        <f t="shared" ref="F3:F12" si="1">C3/D3*100</f>
        <v>74.277271703719066</v>
      </c>
      <c r="G3" s="2">
        <f>(D3-D2)/D2*100</f>
        <v>-2.7329611438602353</v>
      </c>
    </row>
    <row r="4" spans="1:7">
      <c r="A4" t="s">
        <v>12</v>
      </c>
      <c r="B4" s="1">
        <v>1937.06</v>
      </c>
      <c r="C4">
        <v>5552.3</v>
      </c>
      <c r="D4">
        <f t="shared" ref="D4:D12" si="2">B4+C4</f>
        <v>7489.3600000000006</v>
      </c>
      <c r="E4">
        <f t="shared" si="0"/>
        <v>-3615.2400000000002</v>
      </c>
      <c r="F4" s="2">
        <f t="shared" si="1"/>
        <v>74.135840712691063</v>
      </c>
      <c r="G4" s="2">
        <f t="shared" ref="G4:G12" si="3">(D4-D3)/D3*100</f>
        <v>21.328605055412574</v>
      </c>
    </row>
    <row r="5" spans="1:7">
      <c r="A5" t="s">
        <v>3</v>
      </c>
      <c r="B5">
        <v>2113.39</v>
      </c>
      <c r="C5">
        <v>8573.4599999999991</v>
      </c>
      <c r="D5">
        <f t="shared" si="2"/>
        <v>10686.849999999999</v>
      </c>
      <c r="E5">
        <f t="shared" si="0"/>
        <v>-6460.07</v>
      </c>
      <c r="F5" s="2">
        <f t="shared" si="1"/>
        <v>80.224387915990221</v>
      </c>
      <c r="G5" s="2">
        <f t="shared" si="3"/>
        <v>42.693768225856381</v>
      </c>
    </row>
    <row r="6" spans="1:7">
      <c r="A6" t="s">
        <v>2</v>
      </c>
      <c r="B6">
        <v>2389.4699999999998</v>
      </c>
      <c r="C6">
        <v>5840.44</v>
      </c>
      <c r="D6">
        <f t="shared" si="2"/>
        <v>8229.91</v>
      </c>
      <c r="E6">
        <f t="shared" si="0"/>
        <v>-3450.97</v>
      </c>
      <c r="F6" s="2">
        <f t="shared" si="1"/>
        <v>70.966025144867928</v>
      </c>
      <c r="G6" s="2">
        <f t="shared" si="3"/>
        <v>-22.990310521809505</v>
      </c>
    </row>
    <row r="7" spans="1:7">
      <c r="A7" t="s">
        <v>4</v>
      </c>
      <c r="B7">
        <v>3017.67</v>
      </c>
      <c r="C7">
        <v>7093.01</v>
      </c>
      <c r="D7">
        <f t="shared" si="2"/>
        <v>10110.68</v>
      </c>
      <c r="E7">
        <f t="shared" si="0"/>
        <v>-4075.34</v>
      </c>
      <c r="F7" s="2">
        <f t="shared" si="1"/>
        <v>70.153639517816799</v>
      </c>
      <c r="G7" s="2">
        <f t="shared" si="3"/>
        <v>22.852862303475984</v>
      </c>
    </row>
    <row r="8" spans="1:7">
      <c r="A8" t="s">
        <v>5</v>
      </c>
      <c r="B8">
        <v>2655.52</v>
      </c>
      <c r="C8">
        <v>5485.75</v>
      </c>
      <c r="D8">
        <f t="shared" si="2"/>
        <v>8141.27</v>
      </c>
      <c r="E8">
        <f t="shared" si="0"/>
        <v>-2830.23</v>
      </c>
      <c r="F8" s="2">
        <f t="shared" si="1"/>
        <v>67.381993227100921</v>
      </c>
      <c r="G8" s="2">
        <f t="shared" si="3"/>
        <v>-19.478511831053893</v>
      </c>
    </row>
    <row r="9" spans="1:7">
      <c r="A9" t="s">
        <v>6</v>
      </c>
      <c r="B9" s="1">
        <v>3254.68</v>
      </c>
      <c r="C9">
        <v>9869.99</v>
      </c>
      <c r="D9">
        <f t="shared" si="2"/>
        <v>13124.67</v>
      </c>
      <c r="E9">
        <f t="shared" si="0"/>
        <v>-6615.3099999999995</v>
      </c>
      <c r="F9" s="2">
        <f t="shared" si="1"/>
        <v>75.201814598005129</v>
      </c>
      <c r="G9" s="2">
        <f t="shared" si="3"/>
        <v>61.2115800114724</v>
      </c>
    </row>
    <row r="10" spans="1:7">
      <c r="A10" t="s">
        <v>7</v>
      </c>
      <c r="B10" s="1">
        <v>3146.95</v>
      </c>
      <c r="C10">
        <v>46212.71</v>
      </c>
      <c r="D10">
        <f t="shared" si="2"/>
        <v>49359.659999999996</v>
      </c>
      <c r="E10">
        <f t="shared" si="0"/>
        <v>-43065.760000000002</v>
      </c>
      <c r="F10" s="2">
        <f t="shared" si="1"/>
        <v>93.624449601152037</v>
      </c>
      <c r="G10" s="2">
        <f t="shared" si="3"/>
        <v>276.08305580254586</v>
      </c>
    </row>
    <row r="11" spans="1:7">
      <c r="A11" t="s">
        <v>8</v>
      </c>
      <c r="B11" s="1">
        <v>8522.61</v>
      </c>
      <c r="C11">
        <v>61159.17</v>
      </c>
      <c r="D11">
        <f t="shared" si="2"/>
        <v>69681.78</v>
      </c>
      <c r="E11">
        <f t="shared" si="0"/>
        <v>-52636.56</v>
      </c>
      <c r="F11" s="2">
        <f t="shared" si="1"/>
        <v>87.769241830504328</v>
      </c>
      <c r="G11" s="2">
        <f t="shared" si="3"/>
        <v>41.171515362950238</v>
      </c>
    </row>
    <row r="12" spans="1:7">
      <c r="A12" t="s">
        <v>9</v>
      </c>
      <c r="B12" s="1">
        <v>4881.3</v>
      </c>
      <c r="C12">
        <v>63811.44</v>
      </c>
      <c r="D12">
        <f t="shared" si="2"/>
        <v>68692.740000000005</v>
      </c>
      <c r="E12">
        <f t="shared" si="0"/>
        <v>-58930.14</v>
      </c>
      <c r="F12" s="2">
        <f t="shared" si="1"/>
        <v>92.89400888652861</v>
      </c>
      <c r="G12" s="2">
        <f t="shared" si="3"/>
        <v>-1.4193667268545576</v>
      </c>
    </row>
  </sheetData>
  <sortState xmlns:xlrd2="http://schemas.microsoft.com/office/spreadsheetml/2017/richdata2" ref="A2:B12">
    <sortCondition ref="A2:A1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F0C5-31DA-4C91-AE67-C7044CAF7449}">
  <dimension ref="A1:G12"/>
  <sheetViews>
    <sheetView zoomScale="70" zoomScaleNormal="70" workbookViewId="0">
      <selection activeCell="J6" sqref="J6"/>
    </sheetView>
  </sheetViews>
  <sheetFormatPr defaultRowHeight="14.4"/>
  <cols>
    <col min="1" max="1" width="15.21875" customWidth="1"/>
    <col min="2" max="2" width="16.33203125" customWidth="1"/>
    <col min="3" max="3" width="17.88671875" bestFit="1" customWidth="1"/>
    <col min="4" max="4" width="19.6640625" customWidth="1"/>
    <col min="5" max="5" width="24.88671875" bestFit="1" customWidth="1"/>
    <col min="6" max="6" width="18.21875" bestFit="1" customWidth="1"/>
    <col min="7" max="7" width="22.77734375" bestFit="1" customWidth="1"/>
  </cols>
  <sheetData>
    <row r="1" spans="1:7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 t="s">
        <v>10</v>
      </c>
      <c r="B2">
        <v>2097.0100000000002</v>
      </c>
      <c r="C2">
        <v>4249.22</v>
      </c>
      <c r="D2">
        <f>B2+C2</f>
        <v>6346.2300000000005</v>
      </c>
      <c r="E2">
        <f>B2-C2</f>
        <v>-2152.21</v>
      </c>
      <c r="F2" s="2">
        <f>C2/D2*100</f>
        <v>66.95660258137508</v>
      </c>
    </row>
    <row r="3" spans="1:7">
      <c r="A3" t="s">
        <v>11</v>
      </c>
      <c r="B3">
        <v>1587.81</v>
      </c>
      <c r="C3">
        <v>4584.9799999999996</v>
      </c>
      <c r="D3">
        <f>B3+C3</f>
        <v>6172.7899999999991</v>
      </c>
      <c r="E3">
        <f t="shared" ref="E3:E12" si="0">B3-C3</f>
        <v>-2997.1699999999996</v>
      </c>
      <c r="F3" s="2">
        <f t="shared" ref="F3:F12" si="1">C3/D3*100</f>
        <v>74.277271703719066</v>
      </c>
      <c r="G3" s="2">
        <f>(D3-D2)/D2*100</f>
        <v>-2.7329611438602353</v>
      </c>
    </row>
    <row r="4" spans="1:7">
      <c r="A4" t="s">
        <v>12</v>
      </c>
      <c r="B4" s="1">
        <v>1937.06</v>
      </c>
      <c r="C4">
        <v>5552.3</v>
      </c>
      <c r="D4">
        <f t="shared" ref="D4:D11" si="2">B4+C4</f>
        <v>7489.3600000000006</v>
      </c>
      <c r="E4">
        <f t="shared" si="0"/>
        <v>-3615.2400000000002</v>
      </c>
      <c r="F4" s="2">
        <f t="shared" si="1"/>
        <v>74.135840712691063</v>
      </c>
      <c r="G4" s="2">
        <f t="shared" ref="G4:G12" si="3">(D4-D3)/D3*100</f>
        <v>21.328605055412574</v>
      </c>
    </row>
    <row r="5" spans="1:7">
      <c r="A5" t="s">
        <v>3</v>
      </c>
      <c r="B5">
        <v>2113.39</v>
      </c>
      <c r="C5">
        <v>8573.4599999999991</v>
      </c>
      <c r="D5">
        <f t="shared" si="2"/>
        <v>10686.849999999999</v>
      </c>
      <c r="E5">
        <f t="shared" si="0"/>
        <v>-6460.07</v>
      </c>
      <c r="F5" s="2">
        <f t="shared" si="1"/>
        <v>80.224387915990221</v>
      </c>
      <c r="G5" s="2">
        <f t="shared" si="3"/>
        <v>42.693768225856381</v>
      </c>
    </row>
    <row r="6" spans="1:7">
      <c r="A6" t="s">
        <v>2</v>
      </c>
      <c r="B6">
        <v>2389.4699999999998</v>
      </c>
      <c r="C6">
        <v>5840.44</v>
      </c>
      <c r="D6">
        <f t="shared" si="2"/>
        <v>8229.91</v>
      </c>
      <c r="E6">
        <f t="shared" si="0"/>
        <v>-3450.97</v>
      </c>
      <c r="F6" s="2">
        <f t="shared" si="1"/>
        <v>70.966025144867928</v>
      </c>
      <c r="G6" s="2">
        <f t="shared" si="3"/>
        <v>-22.990310521809505</v>
      </c>
    </row>
    <row r="7" spans="1:7">
      <c r="A7" t="s">
        <v>4</v>
      </c>
      <c r="B7">
        <v>3017.67</v>
      </c>
      <c r="C7">
        <v>7093.01</v>
      </c>
      <c r="D7">
        <f t="shared" si="2"/>
        <v>10110.68</v>
      </c>
      <c r="E7">
        <f t="shared" si="0"/>
        <v>-4075.34</v>
      </c>
      <c r="F7" s="2">
        <f t="shared" si="1"/>
        <v>70.153639517816799</v>
      </c>
      <c r="G7" s="2">
        <f t="shared" si="3"/>
        <v>22.852862303475984</v>
      </c>
    </row>
    <row r="8" spans="1:7">
      <c r="A8" t="s">
        <v>5</v>
      </c>
      <c r="B8">
        <v>2655.52</v>
      </c>
      <c r="C8">
        <v>5485.75</v>
      </c>
      <c r="D8">
        <f t="shared" si="2"/>
        <v>8141.27</v>
      </c>
      <c r="E8">
        <f t="shared" si="0"/>
        <v>-2830.23</v>
      </c>
      <c r="F8" s="2">
        <f t="shared" si="1"/>
        <v>67.381993227100921</v>
      </c>
      <c r="G8" s="2">
        <f t="shared" si="3"/>
        <v>-19.478511831053893</v>
      </c>
    </row>
    <row r="9" spans="1:7">
      <c r="A9" t="s">
        <v>6</v>
      </c>
      <c r="B9" s="1">
        <v>3254.68</v>
      </c>
      <c r="C9">
        <v>9869.99</v>
      </c>
      <c r="D9">
        <f t="shared" si="2"/>
        <v>13124.67</v>
      </c>
      <c r="E9">
        <f t="shared" si="0"/>
        <v>-6615.3099999999995</v>
      </c>
      <c r="F9" s="2">
        <f t="shared" si="1"/>
        <v>75.201814598005129</v>
      </c>
      <c r="G9" s="2">
        <f t="shared" si="3"/>
        <v>61.2115800114724</v>
      </c>
    </row>
    <row r="10" spans="1:7">
      <c r="A10" t="s">
        <v>7</v>
      </c>
      <c r="B10" s="1">
        <v>3146.95</v>
      </c>
      <c r="C10">
        <v>46212.71</v>
      </c>
      <c r="D10">
        <f t="shared" si="2"/>
        <v>49359.659999999996</v>
      </c>
      <c r="E10">
        <f t="shared" si="0"/>
        <v>-43065.760000000002</v>
      </c>
      <c r="F10" s="2">
        <f t="shared" si="1"/>
        <v>93.624449601152037</v>
      </c>
      <c r="G10" s="2">
        <f t="shared" si="3"/>
        <v>276.08305580254586</v>
      </c>
    </row>
    <row r="11" spans="1:7">
      <c r="A11" t="s">
        <v>8</v>
      </c>
      <c r="B11" s="1">
        <v>8522.61</v>
      </c>
      <c r="C11">
        <v>61159.17</v>
      </c>
      <c r="D11">
        <f t="shared" si="2"/>
        <v>69681.78</v>
      </c>
      <c r="E11">
        <f t="shared" si="0"/>
        <v>-52636.56</v>
      </c>
      <c r="F11" s="2">
        <f t="shared" si="1"/>
        <v>87.769241830504328</v>
      </c>
      <c r="G11" s="2">
        <f t="shared" si="3"/>
        <v>41.171515362950238</v>
      </c>
    </row>
    <row r="12" spans="1:7">
      <c r="A12" t="s">
        <v>9</v>
      </c>
      <c r="B12" s="1">
        <v>4881.3</v>
      </c>
      <c r="C12">
        <v>63811.44</v>
      </c>
      <c r="D12" s="1">
        <f>B12+C12</f>
        <v>68692.740000000005</v>
      </c>
      <c r="E12">
        <f t="shared" si="0"/>
        <v>-58930.14</v>
      </c>
      <c r="F12" s="2">
        <f t="shared" si="1"/>
        <v>92.89400888652861</v>
      </c>
      <c r="G12" s="2">
        <f t="shared" si="3"/>
        <v>-1.4193667268545576</v>
      </c>
    </row>
  </sheetData>
  <conditionalFormatting sqref="A1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82F8-E9C1-4268-883F-6337CE4424E3}">
  <dimension ref="A1:C17"/>
  <sheetViews>
    <sheetView tabSelected="1" workbookViewId="0">
      <selection activeCell="F14" sqref="F14"/>
    </sheetView>
  </sheetViews>
  <sheetFormatPr defaultRowHeight="14.4"/>
  <cols>
    <col min="1" max="1" width="24.88671875" customWidth="1"/>
    <col min="2" max="2" width="9" bestFit="1" customWidth="1"/>
    <col min="3" max="3" width="61.6640625" bestFit="1" customWidth="1"/>
  </cols>
  <sheetData>
    <row r="1" spans="1:3" ht="15.6">
      <c r="A1" s="8" t="s">
        <v>37</v>
      </c>
      <c r="B1" s="8" t="s">
        <v>38</v>
      </c>
      <c r="C1" s="8" t="s">
        <v>39</v>
      </c>
    </row>
    <row r="2" spans="1:3">
      <c r="A2" t="s">
        <v>40</v>
      </c>
      <c r="B2" s="1">
        <f>AVERAGE(IndiaRussiaTrade[Total_Trade_USD_m])</f>
        <v>23457.812727272729</v>
      </c>
      <c r="C2" t="s">
        <v>73</v>
      </c>
    </row>
    <row r="3" spans="1:3">
      <c r="A3" t="s">
        <v>41</v>
      </c>
      <c r="B3" s="1">
        <f>MAX(IndiaRussiaTrade[Total_Trade_USD_m])</f>
        <v>69681.78</v>
      </c>
      <c r="C3" t="s">
        <v>74</v>
      </c>
    </row>
    <row r="4" spans="1:3">
      <c r="A4" t="s">
        <v>42</v>
      </c>
      <c r="B4" s="1">
        <f>MIN(IndiaRussiaTrade[Total_Trade_USD_m])</f>
        <v>6172.7899999999991</v>
      </c>
      <c r="C4" t="s">
        <v>75</v>
      </c>
    </row>
    <row r="5" spans="1:3">
      <c r="A5" t="s">
        <v>43</v>
      </c>
      <c r="B5" s="10" cm="1">
        <f t="array" ref="B5">(INDEX(IndiaRussiaTrade[Total_Trade_USD_m],ROWS(IndiaRussiaTrade[Total_Trade_USD_m]))-INDEX(IndiaRussiaTrade[Total_Trade_USD_m],1))/INDEX(IndiaRussiaTrade[Total_Trade_USD_m],1)*100</f>
        <v>982.41806552866819</v>
      </c>
      <c r="C5" t="s">
        <v>76</v>
      </c>
    </row>
    <row r="6" spans="1:3">
      <c r="A6" t="s">
        <v>44</v>
      </c>
      <c r="B6" s="11" t="str">
        <f>INDEX(IndiaRussiaTrade[Financial_Year],MATCH(MAX(IndiaRussiaTrade[Exports_USD_m]),IndiaRussiaTrade[Exports_USD_m],0))</f>
        <v>2023-24</v>
      </c>
      <c r="C6" t="s">
        <v>88</v>
      </c>
    </row>
    <row r="7" spans="1:3">
      <c r="A7" t="s">
        <v>45</v>
      </c>
      <c r="B7" s="11" t="str">
        <f>INDEX(IndiaRussiaTrade[Financial_Year],MATCH(MAX(IndiaRussiaTrade[Imports_USD_m]),IndiaRussiaTrade[Imports_USD_m],0))</f>
        <v>2024-25</v>
      </c>
      <c r="C7" t="s">
        <v>77</v>
      </c>
    </row>
    <row r="8" spans="1:3">
      <c r="A8" t="s">
        <v>46</v>
      </c>
      <c r="B8" s="11" t="str">
        <f>INDEX(Clean_Data!A2:A12,MATCH(MIN(Clean_Data!E2:E12),Clean_Data!E2:E12,0))</f>
        <v>2024-25</v>
      </c>
      <c r="C8" t="s">
        <v>78</v>
      </c>
    </row>
    <row r="9" spans="1:3">
      <c r="A9" t="s">
        <v>47</v>
      </c>
      <c r="B9" s="11" t="str">
        <f>INDEX(IndiaRussiaTrade[Financial_Year],MATCH(MAX(IndiaRussiaTrade[YoY_Trade_Growth_%]),IndiaRussiaTrade[YoY_Trade_Growth_%],0))</f>
        <v>2022-23</v>
      </c>
      <c r="C9" t="s">
        <v>79</v>
      </c>
    </row>
    <row r="10" spans="1:3">
      <c r="A10" t="s">
        <v>48</v>
      </c>
      <c r="B10" s="11" t="str">
        <f>INDEX(IndiaRussiaTrade[Financial_Year],MATCH(MIN(IndiaRussiaTrade[YoY_Trade_Growth_%]),IndiaRussiaTrade[YoY_Trade_Growth_%],0))</f>
        <v>2018-19</v>
      </c>
      <c r="C10" t="s">
        <v>80</v>
      </c>
    </row>
    <row r="11" spans="1:3">
      <c r="A11" t="s">
        <v>49</v>
      </c>
      <c r="B11" s="10">
        <f>AVERAGE(IndiaRussiaTrade[Import_Share_%])</f>
        <v>77.598661429068301</v>
      </c>
      <c r="C11" t="s">
        <v>81</v>
      </c>
    </row>
    <row r="12" spans="1:3">
      <c r="A12" t="s">
        <v>50</v>
      </c>
      <c r="B12" s="1">
        <f>AVERAGEIFS(IndiaRussiaTrade[Total_Trade_USD_m],IndiaRussiaTrade[Financial_Year],"&lt;2022–23")</f>
        <v>13295.713333333331</v>
      </c>
      <c r="C12" t="s">
        <v>82</v>
      </c>
    </row>
    <row r="13" spans="1:3">
      <c r="A13" t="s">
        <v>51</v>
      </c>
      <c r="B13" s="1">
        <f>AVERAGEIFS(IndiaRussiaTrade[Total_Trade_USD_m],IndiaRussiaTrade[Financial_Year],"&gt;=2022–23")</f>
        <v>69187.260000000009</v>
      </c>
      <c r="C13" t="s">
        <v>83</v>
      </c>
    </row>
    <row r="14" spans="1:3">
      <c r="A14" t="s">
        <v>52</v>
      </c>
      <c r="B14" t="str">
        <f>INDEX(IndiaRussiaTrade[Financial_Year],MATCH(MAX(IndiaRussiaTrade[Import_Share_%]),IndiaRussiaTrade[Import_Share_%],0))</f>
        <v>2022-23</v>
      </c>
      <c r="C14" t="s">
        <v>84</v>
      </c>
    </row>
    <row r="15" spans="1:3">
      <c r="A15" t="s">
        <v>53</v>
      </c>
      <c r="B15" t="str">
        <f>INDEX(IndiaRussiaTrade[Financial_Year],MATCH(MIN(IndiaRussiaTrade[Import_Share_%]),IndiaRussiaTrade[Import_Share_%],0))</f>
        <v>2014-15</v>
      </c>
      <c r="C15" t="s">
        <v>85</v>
      </c>
    </row>
    <row r="16" spans="1:3">
      <c r="A16" t="s">
        <v>54</v>
      </c>
      <c r="B16" t="str">
        <f>INDEX(IndiaRussiaTrade[Financial_Year],MATCH(MAX(IndiaRussiaTrade[Total_Trade_USD_m]),IndiaRussiaTrade[Total_Trade_USD_m],0))</f>
        <v>2023-24</v>
      </c>
      <c r="C16" t="s">
        <v>86</v>
      </c>
    </row>
    <row r="17" spans="1:3">
      <c r="A17" t="s">
        <v>55</v>
      </c>
      <c r="B17" t="str">
        <f>INDEX(IndiaRussiaTrade[Financial_Year],MATCH(MIN(IndiaRussiaTrade[Total_Trade_USD_m]),IndiaRussiaTrade[Total_Trade_USD_m],0))</f>
        <v>2015-16</v>
      </c>
      <c r="C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A6-AE28-46C6-B747-969B5CC6C2CE}">
  <dimension ref="A1:O12"/>
  <sheetViews>
    <sheetView zoomScale="85" zoomScaleNormal="85" workbookViewId="0">
      <selection activeCell="F14" sqref="F14"/>
    </sheetView>
  </sheetViews>
  <sheetFormatPr defaultRowHeight="14.4"/>
  <cols>
    <col min="1" max="1" width="15" customWidth="1"/>
    <col min="2" max="2" width="19.21875" customWidth="1"/>
    <col min="4" max="4" width="15" customWidth="1"/>
    <col min="5" max="5" width="15.88671875" customWidth="1"/>
    <col min="6" max="6" width="16.21875" customWidth="1"/>
    <col min="8" max="8" width="15" customWidth="1"/>
    <col min="9" max="9" width="21.77734375" customWidth="1"/>
    <col min="11" max="11" width="15" customWidth="1"/>
    <col min="12" max="12" width="20.44140625" customWidth="1"/>
    <col min="14" max="14" width="15" customWidth="1"/>
    <col min="15" max="15" width="16.44140625" customWidth="1"/>
  </cols>
  <sheetData>
    <row r="1" spans="1:15">
      <c r="A1" t="s">
        <v>0</v>
      </c>
      <c r="B1" t="s">
        <v>14</v>
      </c>
      <c r="D1" t="s">
        <v>0</v>
      </c>
      <c r="E1" t="s">
        <v>1</v>
      </c>
      <c r="F1" t="s">
        <v>13</v>
      </c>
      <c r="H1" t="s">
        <v>0</v>
      </c>
      <c r="I1" t="s">
        <v>15</v>
      </c>
      <c r="K1" t="s">
        <v>0</v>
      </c>
      <c r="L1" t="s">
        <v>17</v>
      </c>
      <c r="N1" t="s">
        <v>0</v>
      </c>
      <c r="O1" t="s">
        <v>16</v>
      </c>
    </row>
    <row r="2" spans="1:15">
      <c r="A2" t="s">
        <v>10</v>
      </c>
      <c r="B2">
        <v>6346.23</v>
      </c>
      <c r="D2" t="s">
        <v>10</v>
      </c>
      <c r="E2">
        <v>2097.0100000000002</v>
      </c>
      <c r="F2" s="9">
        <v>4249.22</v>
      </c>
      <c r="H2" s="3" t="s">
        <v>10</v>
      </c>
      <c r="I2">
        <v>-2152.21</v>
      </c>
      <c r="K2" t="s">
        <v>10</v>
      </c>
      <c r="N2" t="s">
        <v>10</v>
      </c>
      <c r="O2" s="2">
        <v>66.959999999999994</v>
      </c>
    </row>
    <row r="3" spans="1:15">
      <c r="A3" t="s">
        <v>11</v>
      </c>
      <c r="B3">
        <v>6172.79</v>
      </c>
      <c r="D3" t="s">
        <v>11</v>
      </c>
      <c r="E3">
        <v>1587.81</v>
      </c>
      <c r="F3">
        <v>4584.9799999999996</v>
      </c>
      <c r="G3" s="2"/>
      <c r="H3" s="3" t="s">
        <v>11</v>
      </c>
      <c r="I3">
        <v>-2997.17</v>
      </c>
      <c r="K3" s="3" t="s">
        <v>11</v>
      </c>
      <c r="L3">
        <v>-2.73</v>
      </c>
      <c r="N3" s="3" t="s">
        <v>11</v>
      </c>
      <c r="O3" s="2">
        <v>74.28</v>
      </c>
    </row>
    <row r="4" spans="1:15">
      <c r="A4" t="s">
        <v>12</v>
      </c>
      <c r="B4" s="1">
        <v>7489.36</v>
      </c>
      <c r="D4" t="s">
        <v>12</v>
      </c>
      <c r="E4" s="1">
        <v>1937.06</v>
      </c>
      <c r="F4">
        <v>5552.3</v>
      </c>
      <c r="G4" s="2"/>
      <c r="H4" s="3" t="s">
        <v>12</v>
      </c>
      <c r="I4">
        <v>-3615.24</v>
      </c>
      <c r="K4" t="s">
        <v>12</v>
      </c>
      <c r="L4">
        <v>21.33</v>
      </c>
      <c r="N4" s="3" t="s">
        <v>12</v>
      </c>
      <c r="O4" s="2">
        <v>74.14</v>
      </c>
    </row>
    <row r="5" spans="1:15">
      <c r="A5" t="s">
        <v>3</v>
      </c>
      <c r="B5">
        <v>10686.85</v>
      </c>
      <c r="D5" t="s">
        <v>3</v>
      </c>
      <c r="E5">
        <v>2113.39</v>
      </c>
      <c r="F5">
        <v>8573.4599999999991</v>
      </c>
      <c r="G5" s="2"/>
      <c r="H5" s="3" t="s">
        <v>3</v>
      </c>
      <c r="I5">
        <v>-6460.07</v>
      </c>
      <c r="K5" t="s">
        <v>3</v>
      </c>
      <c r="L5">
        <v>42.69</v>
      </c>
      <c r="N5" s="3" t="s">
        <v>3</v>
      </c>
      <c r="O5" s="2">
        <v>80.22</v>
      </c>
    </row>
    <row r="6" spans="1:15">
      <c r="A6" t="s">
        <v>2</v>
      </c>
      <c r="B6">
        <v>8229.91</v>
      </c>
      <c r="D6" t="s">
        <v>2</v>
      </c>
      <c r="E6">
        <v>2389.4699999999998</v>
      </c>
      <c r="F6">
        <v>5840.44</v>
      </c>
      <c r="G6" s="2"/>
      <c r="H6" s="3" t="s">
        <v>2</v>
      </c>
      <c r="I6">
        <v>-3450.97</v>
      </c>
      <c r="K6" t="s">
        <v>2</v>
      </c>
      <c r="L6">
        <v>-22.99</v>
      </c>
      <c r="N6" s="3" t="s">
        <v>2</v>
      </c>
      <c r="O6" s="2">
        <v>70.97</v>
      </c>
    </row>
    <row r="7" spans="1:15">
      <c r="A7" t="s">
        <v>4</v>
      </c>
      <c r="B7">
        <v>10110.68</v>
      </c>
      <c r="D7" t="s">
        <v>4</v>
      </c>
      <c r="E7">
        <v>3017.67</v>
      </c>
      <c r="F7">
        <v>7093.01</v>
      </c>
      <c r="G7" s="2"/>
      <c r="H7" s="3" t="s">
        <v>4</v>
      </c>
      <c r="I7">
        <v>-4075.34</v>
      </c>
      <c r="K7" s="3" t="s">
        <v>4</v>
      </c>
      <c r="L7">
        <v>22.85</v>
      </c>
      <c r="N7" s="3" t="s">
        <v>4</v>
      </c>
      <c r="O7" s="2">
        <v>70.150000000000006</v>
      </c>
    </row>
    <row r="8" spans="1:15">
      <c r="A8" t="s">
        <v>5</v>
      </c>
      <c r="B8">
        <v>8141.27</v>
      </c>
      <c r="D8" t="s">
        <v>5</v>
      </c>
      <c r="E8">
        <v>2655.52</v>
      </c>
      <c r="F8">
        <v>5485.75</v>
      </c>
      <c r="G8" s="2"/>
      <c r="H8" s="3" t="s">
        <v>5</v>
      </c>
      <c r="I8">
        <v>-2830.23</v>
      </c>
      <c r="K8" t="s">
        <v>5</v>
      </c>
      <c r="L8">
        <v>-19.48</v>
      </c>
      <c r="N8" s="3" t="s">
        <v>5</v>
      </c>
      <c r="O8" s="2">
        <v>67.38</v>
      </c>
    </row>
    <row r="9" spans="1:15">
      <c r="A9" t="s">
        <v>6</v>
      </c>
      <c r="B9" s="1">
        <v>13124.67</v>
      </c>
      <c r="D9" t="s">
        <v>6</v>
      </c>
      <c r="E9" s="1">
        <v>3254.68</v>
      </c>
      <c r="F9">
        <v>9869.99</v>
      </c>
      <c r="G9" s="2"/>
      <c r="H9" s="3" t="s">
        <v>6</v>
      </c>
      <c r="I9">
        <v>-6615.31</v>
      </c>
      <c r="K9" s="3" t="s">
        <v>6</v>
      </c>
      <c r="L9">
        <v>61.2</v>
      </c>
      <c r="N9" s="3" t="s">
        <v>6</v>
      </c>
      <c r="O9" s="2">
        <v>75.2</v>
      </c>
    </row>
    <row r="10" spans="1:15">
      <c r="A10" t="s">
        <v>7</v>
      </c>
      <c r="B10" s="1">
        <v>49359.66</v>
      </c>
      <c r="D10" t="s">
        <v>7</v>
      </c>
      <c r="E10" s="1">
        <v>3146.95</v>
      </c>
      <c r="F10">
        <v>46212.71</v>
      </c>
      <c r="G10" s="2"/>
      <c r="H10" s="3" t="s">
        <v>7</v>
      </c>
      <c r="I10">
        <v>-43065.760000000002</v>
      </c>
      <c r="K10" t="s">
        <v>7</v>
      </c>
      <c r="L10">
        <v>276.08</v>
      </c>
      <c r="N10" s="3" t="s">
        <v>7</v>
      </c>
      <c r="O10" s="2">
        <v>93.62</v>
      </c>
    </row>
    <row r="11" spans="1:15">
      <c r="A11" t="s">
        <v>8</v>
      </c>
      <c r="B11" s="1">
        <v>69681.78</v>
      </c>
      <c r="D11" t="s">
        <v>8</v>
      </c>
      <c r="E11" s="1">
        <v>8522.61</v>
      </c>
      <c r="F11">
        <v>61159.17</v>
      </c>
      <c r="G11" s="2"/>
      <c r="H11" s="3" t="s">
        <v>8</v>
      </c>
      <c r="I11">
        <v>-52636.56</v>
      </c>
      <c r="K11" s="3" t="s">
        <v>8</v>
      </c>
      <c r="L11">
        <v>41.1</v>
      </c>
      <c r="N11" s="3" t="s">
        <v>8</v>
      </c>
      <c r="O11" s="2">
        <v>87.77</v>
      </c>
    </row>
    <row r="12" spans="1:15">
      <c r="A12" t="s">
        <v>9</v>
      </c>
      <c r="B12" s="1">
        <v>68692.740000000005</v>
      </c>
      <c r="D12" t="s">
        <v>9</v>
      </c>
      <c r="E12" s="1">
        <v>4881.3</v>
      </c>
      <c r="F12">
        <v>63811.44</v>
      </c>
      <c r="G12" s="2"/>
      <c r="H12" s="3" t="s">
        <v>9</v>
      </c>
      <c r="I12">
        <v>-58930.14</v>
      </c>
      <c r="K12" t="s">
        <v>9</v>
      </c>
      <c r="L12">
        <v>-1.42</v>
      </c>
      <c r="N12" s="3" t="s">
        <v>9</v>
      </c>
      <c r="O12" s="2">
        <v>92.89</v>
      </c>
    </row>
  </sheetData>
  <phoneticPr fontId="1" type="noConversion"/>
  <conditionalFormatting sqref="A1">
    <cfRule type="duplicateValues" dxfId="2" priority="4"/>
  </conditionalFormatting>
  <conditionalFormatting sqref="D1">
    <cfRule type="duplicateValues" dxfId="1" priority="1"/>
  </conditionalFormatting>
  <conditionalFormatting sqref="F1">
    <cfRule type="duplicateValues" dxfId="0" priority="2"/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E6F3-CABB-4950-9BC2-BE910C3892B0}">
  <dimension ref="A1:E13"/>
  <sheetViews>
    <sheetView workbookViewId="0">
      <selection activeCell="B1" sqref="B1"/>
    </sheetView>
  </sheetViews>
  <sheetFormatPr defaultRowHeight="14.4"/>
  <cols>
    <col min="1" max="1" width="12.44140625" bestFit="1" customWidth="1"/>
    <col min="2" max="2" width="18.6640625" bestFit="1" customWidth="1"/>
    <col min="3" max="3" width="19" bestFit="1" customWidth="1"/>
    <col min="4" max="4" width="21.6640625" bestFit="1" customWidth="1"/>
    <col min="5" max="5" width="24.21875" bestFit="1" customWidth="1"/>
  </cols>
  <sheetData>
    <row r="1" spans="1:5">
      <c r="A1" s="4" t="s">
        <v>56</v>
      </c>
      <c r="B1" t="s">
        <v>58</v>
      </c>
      <c r="C1" t="s">
        <v>59</v>
      </c>
      <c r="D1" t="s">
        <v>60</v>
      </c>
      <c r="E1" t="s">
        <v>61</v>
      </c>
    </row>
    <row r="2" spans="1:5">
      <c r="A2" s="5" t="s">
        <v>10</v>
      </c>
      <c r="B2" s="1">
        <v>2097.0100000000002</v>
      </c>
      <c r="C2" s="1">
        <v>4249.22</v>
      </c>
      <c r="D2" s="1">
        <v>6346.2300000000005</v>
      </c>
      <c r="E2">
        <v>-2152.21</v>
      </c>
    </row>
    <row r="3" spans="1:5">
      <c r="A3" s="5" t="s">
        <v>11</v>
      </c>
      <c r="B3" s="1">
        <v>1587.81</v>
      </c>
      <c r="C3" s="1">
        <v>4584.9799999999996</v>
      </c>
      <c r="D3" s="1">
        <v>6172.7899999999991</v>
      </c>
      <c r="E3">
        <v>-2997.1699999999996</v>
      </c>
    </row>
    <row r="4" spans="1:5">
      <c r="A4" s="5" t="s">
        <v>12</v>
      </c>
      <c r="B4" s="1">
        <v>1937.06</v>
      </c>
      <c r="C4" s="1">
        <v>5552.3</v>
      </c>
      <c r="D4" s="1">
        <v>7489.3600000000006</v>
      </c>
      <c r="E4">
        <v>-3615.2400000000002</v>
      </c>
    </row>
    <row r="5" spans="1:5">
      <c r="A5" s="5" t="s">
        <v>3</v>
      </c>
      <c r="B5" s="1">
        <v>2113.39</v>
      </c>
      <c r="C5" s="1">
        <v>8573.4599999999991</v>
      </c>
      <c r="D5" s="1">
        <v>10686.849999999999</v>
      </c>
      <c r="E5">
        <v>-6460.07</v>
      </c>
    </row>
    <row r="6" spans="1:5">
      <c r="A6" s="5" t="s">
        <v>2</v>
      </c>
      <c r="B6" s="1">
        <v>2389.4699999999998</v>
      </c>
      <c r="C6" s="1">
        <v>5840.44</v>
      </c>
      <c r="D6" s="1">
        <v>8229.91</v>
      </c>
      <c r="E6">
        <v>-3450.97</v>
      </c>
    </row>
    <row r="7" spans="1:5">
      <c r="A7" s="5" t="s">
        <v>4</v>
      </c>
      <c r="B7" s="1">
        <v>3017.67</v>
      </c>
      <c r="C7" s="1">
        <v>7093.01</v>
      </c>
      <c r="D7" s="1">
        <v>10110.68</v>
      </c>
      <c r="E7">
        <v>-4075.34</v>
      </c>
    </row>
    <row r="8" spans="1:5">
      <c r="A8" s="5" t="s">
        <v>5</v>
      </c>
      <c r="B8" s="1">
        <v>2655.52</v>
      </c>
      <c r="C8" s="1">
        <v>5485.75</v>
      </c>
      <c r="D8" s="1">
        <v>8141.27</v>
      </c>
      <c r="E8">
        <v>-2830.23</v>
      </c>
    </row>
    <row r="9" spans="1:5">
      <c r="A9" s="5" t="s">
        <v>6</v>
      </c>
      <c r="B9" s="1">
        <v>3254.68</v>
      </c>
      <c r="C9" s="1">
        <v>9869.99</v>
      </c>
      <c r="D9" s="1">
        <v>13124.67</v>
      </c>
      <c r="E9">
        <v>-6615.3099999999995</v>
      </c>
    </row>
    <row r="10" spans="1:5">
      <c r="A10" s="5" t="s">
        <v>7</v>
      </c>
      <c r="B10" s="1">
        <v>3146.95</v>
      </c>
      <c r="C10" s="1">
        <v>46212.71</v>
      </c>
      <c r="D10" s="1">
        <v>49359.659999999996</v>
      </c>
      <c r="E10">
        <v>-43065.760000000002</v>
      </c>
    </row>
    <row r="11" spans="1:5">
      <c r="A11" s="5" t="s">
        <v>8</v>
      </c>
      <c r="B11" s="1">
        <v>8522.61</v>
      </c>
      <c r="C11" s="1">
        <v>61159.17</v>
      </c>
      <c r="D11" s="1">
        <v>69681.78</v>
      </c>
      <c r="E11">
        <v>-52636.56</v>
      </c>
    </row>
    <row r="12" spans="1:5">
      <c r="A12" s="5" t="s">
        <v>9</v>
      </c>
      <c r="B12" s="1">
        <v>4881.3</v>
      </c>
      <c r="C12" s="1">
        <v>63811.44</v>
      </c>
      <c r="D12" s="1">
        <v>68692.740000000005</v>
      </c>
      <c r="E12">
        <v>-58930.14</v>
      </c>
    </row>
    <row r="13" spans="1:5">
      <c r="A13" s="5" t="s">
        <v>57</v>
      </c>
      <c r="B13" s="1">
        <v>35603.47</v>
      </c>
      <c r="C13" s="1">
        <v>222432.46999999997</v>
      </c>
      <c r="D13" s="1">
        <v>258035.94</v>
      </c>
      <c r="E13">
        <v>-186829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1AFB-399A-44BE-97B4-DA4BBA0F5F05}">
  <dimension ref="A1:D8"/>
  <sheetViews>
    <sheetView zoomScale="70" zoomScaleNormal="70" workbookViewId="0">
      <selection activeCell="D1" sqref="D1"/>
    </sheetView>
  </sheetViews>
  <sheetFormatPr defaultRowHeight="14.4"/>
  <cols>
    <col min="1" max="1" width="69.6640625" bestFit="1" customWidth="1"/>
    <col min="2" max="2" width="63.5546875" bestFit="1" customWidth="1"/>
    <col min="3" max="3" width="9.88671875" bestFit="1" customWidth="1"/>
    <col min="4" max="4" width="83.77734375" bestFit="1" customWidth="1"/>
  </cols>
  <sheetData>
    <row r="1" spans="1:4" ht="15.6">
      <c r="A1" s="8" t="s">
        <v>18</v>
      </c>
      <c r="B1" s="8" t="s">
        <v>19</v>
      </c>
      <c r="C1" s="8" t="s">
        <v>20</v>
      </c>
      <c r="D1" s="8" t="s">
        <v>21</v>
      </c>
    </row>
    <row r="2" spans="1:4">
      <c r="A2" t="s">
        <v>0</v>
      </c>
      <c r="B2" t="s">
        <v>22</v>
      </c>
      <c r="C2" t="s">
        <v>23</v>
      </c>
      <c r="D2" t="s">
        <v>24</v>
      </c>
    </row>
    <row r="3" spans="1:4">
      <c r="A3" t="s">
        <v>1</v>
      </c>
      <c r="B3" t="s">
        <v>25</v>
      </c>
      <c r="C3" t="s">
        <v>26</v>
      </c>
      <c r="D3" t="s">
        <v>24</v>
      </c>
    </row>
    <row r="4" spans="1:4">
      <c r="A4" t="s">
        <v>13</v>
      </c>
      <c r="B4" t="s">
        <v>27</v>
      </c>
      <c r="C4" t="s">
        <v>26</v>
      </c>
      <c r="D4" t="s">
        <v>24</v>
      </c>
    </row>
    <row r="5" spans="1:4">
      <c r="A5" t="s">
        <v>14</v>
      </c>
      <c r="B5" t="s">
        <v>28</v>
      </c>
      <c r="C5" t="s">
        <v>26</v>
      </c>
      <c r="D5" t="s">
        <v>29</v>
      </c>
    </row>
    <row r="6" spans="1:4">
      <c r="A6" t="s">
        <v>15</v>
      </c>
      <c r="B6" t="s">
        <v>30</v>
      </c>
      <c r="C6" t="s">
        <v>26</v>
      </c>
      <c r="D6" t="s">
        <v>31</v>
      </c>
    </row>
    <row r="7" spans="1:4">
      <c r="A7" t="s">
        <v>16</v>
      </c>
      <c r="B7" t="s">
        <v>32</v>
      </c>
      <c r="C7" t="s">
        <v>33</v>
      </c>
      <c r="D7" t="s">
        <v>34</v>
      </c>
    </row>
    <row r="8" spans="1:4">
      <c r="A8" t="s">
        <v>17</v>
      </c>
      <c r="B8" t="s">
        <v>35</v>
      </c>
      <c r="C8" t="s">
        <v>33</v>
      </c>
      <c r="D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Raw_Data</vt:lpstr>
      <vt:lpstr>Clean_Data</vt:lpstr>
      <vt:lpstr>Calculations</vt:lpstr>
      <vt:lpstr>Charts</vt:lpstr>
      <vt:lpstr>Pivot_Table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Alam</dc:creator>
  <cp:lastModifiedBy>Suhail Alam</cp:lastModifiedBy>
  <dcterms:created xsi:type="dcterms:W3CDTF">2026-10-04T06:54:14Z</dcterms:created>
  <dcterms:modified xsi:type="dcterms:W3CDTF">2026-10-05T13:51:48Z</dcterms:modified>
</cp:coreProperties>
</file>